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actice projects\POS\"/>
    </mc:Choice>
  </mc:AlternateContent>
  <bookViews>
    <workbookView minimized="1" xWindow="0" yWindow="0" windowWidth="16380" windowHeight="8196" tabRatio="500"/>
  </bookViews>
  <sheets>
    <sheet name="Tasks" sheetId="1" r:id="rId1"/>
    <sheet name="Summary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2" l="1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C16" i="2" s="1"/>
  <c r="B2" i="2"/>
  <c r="B16" i="2" s="1"/>
</calcChain>
</file>

<file path=xl/sharedStrings.xml><?xml version="1.0" encoding="utf-8"?>
<sst xmlns="http://schemas.openxmlformats.org/spreadsheetml/2006/main" count="594" uniqueCount="322">
  <si>
    <t>ID</t>
  </si>
  <si>
    <t>Phase</t>
  </si>
  <si>
    <t>Task</t>
  </si>
  <si>
    <t>Subtask</t>
  </si>
  <si>
    <t>Details / Description</t>
  </si>
  <si>
    <t>Priority</t>
  </si>
  <si>
    <t>Est. Hours</t>
  </si>
  <si>
    <t>Status</t>
  </si>
  <si>
    <t>Dependencies</t>
  </si>
  <si>
    <t>T-001</t>
  </si>
  <si>
    <t>1. Project Setup &amp; Environment</t>
  </si>
  <si>
    <t>Initialize Tauri + React project</t>
  </si>
  <si>
    <t>Scaffold project with Tauri CLI</t>
  </si>
  <si>
    <t>Run `create-tauri-app` with React + Vite template; verify native window launches on Windows.</t>
  </si>
  <si>
    <t>High</t>
  </si>
  <si>
    <t>Not Started</t>
  </si>
  <si>
    <t>T-002</t>
  </si>
  <si>
    <t>Configure Tailwind CSS</t>
  </si>
  <si>
    <t>Install Tailwind, set up config and base styles, confirm hot-reload works inside the Tauri window.</t>
  </si>
  <si>
    <t>T-003</t>
  </si>
  <si>
    <t>Set up project folder structure</t>
  </si>
  <si>
    <t>Create feature-based folder structure: /features (orders, menu, payments), /components, /lib, /store.</t>
  </si>
  <si>
    <t>Medium</t>
  </si>
  <si>
    <t>T-004</t>
  </si>
  <si>
    <t>Version control &amp; tooling</t>
  </si>
  <si>
    <t>Set up Git repository and branching strategy</t>
  </si>
  <si>
    <t>Initialize repo, set up main/dev branches, add .gitignore for Tauri/Rust/Node artifacts.</t>
  </si>
  <si>
    <t>T-005</t>
  </si>
  <si>
    <t>Configure ESLint, Prettier, and commit hooks</t>
  </si>
  <si>
    <t>Add lint/format config consistent with existing MERN projects; add pre-commit hook via husky.</t>
  </si>
  <si>
    <t>Low</t>
  </si>
  <si>
    <t>T-006</t>
  </si>
  <si>
    <t>Backend project setup</t>
  </si>
  <si>
    <t>Initialize Node.js + Express project</t>
  </si>
  <si>
    <t>Scaffold Express app with folder structure for routes/controllers/services/models.</t>
  </si>
  <si>
    <t>T-007</t>
  </si>
  <si>
    <t>Set up PostgreSQL and Prisma</t>
  </si>
  <si>
    <t>Install PostgreSQL locally, configure Prisma, run first migration to confirm connectivity.</t>
  </si>
  <si>
    <t>T-008</t>
  </si>
  <si>
    <t>Local database setup</t>
  </si>
  <si>
    <t>Integrate SQLite via tauri-plugin-sql</t>
  </si>
  <si>
    <t>Add SQLite plugin to Tauri app, confirm read/write from React front end through Rust bridge.</t>
  </si>
  <si>
    <t>T-009</t>
  </si>
  <si>
    <t>2. Database &amp; Schema Design</t>
  </si>
  <si>
    <t>Design local SQLite schema</t>
  </si>
  <si>
    <t>Define core tables (orders, order_items, payments)</t>
  </si>
  <si>
    <t>Design tables mirroring SRS data model with UUID primary keys, synced/created_locally_at fields.</t>
  </si>
  <si>
    <t>T-010</t>
  </si>
  <si>
    <t>Define menu &amp; inventory tables</t>
  </si>
  <si>
    <t>menu_categories, menu_items, item_variants, modifiers, ingredients, recipe_links tables.</t>
  </si>
  <si>
    <t>T-011</t>
  </si>
  <si>
    <t>Define users &amp; audit tables</t>
  </si>
  <si>
    <t>users, roles, audit_log tables with hashed PIN storage.</t>
  </si>
  <si>
    <t>T-012</t>
  </si>
  <si>
    <t>Design backend PostgreSQL schema</t>
  </si>
  <si>
    <t>Mirror local schema on server with sync metadata</t>
  </si>
  <si>
    <t>Add synced_at, server_received_at, conflict_flag columns for reconciliation logic.</t>
  </si>
  <si>
    <t>T-013</t>
  </si>
  <si>
    <t>Define reporting-oriented views/indexes</t>
  </si>
  <si>
    <t>Add indexes on order date, staff id, payment method for fast report queries.</t>
  </si>
  <si>
    <t>T-014</t>
  </si>
  <si>
    <t>Seed &amp; migration scripts</t>
  </si>
  <si>
    <t>Write seed data for menu and test users</t>
  </si>
  <si>
    <t>Create seed script with sample categories, items, modifiers, and one Admin/Cashier/Waiter user each.</t>
  </si>
  <si>
    <t>T-015</t>
  </si>
  <si>
    <t>3. Authentication &amp; User Management</t>
  </si>
  <si>
    <t>PIN-based login</t>
  </si>
  <si>
    <t>Build login screen (PIN pad UI)</t>
  </si>
  <si>
    <t>Numeric keypad UI matching touchscreen usability requirements (NFR-4.1).</t>
  </si>
  <si>
    <t>T-016</t>
  </si>
  <si>
    <t>Implement local PIN verification (offline-capable)</t>
  </si>
  <si>
    <t>Hash PIN with bcrypt, verify against locally cached user table (FR-1.6).</t>
  </si>
  <si>
    <t>T-017</t>
  </si>
  <si>
    <t>Implement quick user-switch without full logout</t>
  </si>
  <si>
    <t>Add lightweight session swap so a new PIN entry switches active user context (FR-1.5).</t>
  </si>
  <si>
    <t>T-018</t>
  </si>
  <si>
    <t>Role-based access control</t>
  </si>
  <si>
    <t>Define role permission matrix in code</t>
  </si>
  <si>
    <t>Central permissions config mapping Admin/Manager/Cashier/Waiter/Kitchen to allowed actions.</t>
  </si>
  <si>
    <t>T-019</t>
  </si>
  <si>
    <t>Guard routes/components by role</t>
  </si>
  <si>
    <t>Wrap protected UI routes and buttons (e.g. void, discount) with permission checks.</t>
  </si>
  <si>
    <t>T-020</t>
  </si>
  <si>
    <t>User management screens</t>
  </si>
  <si>
    <t>Admin CRUD screen for staff accounts</t>
  </si>
  <si>
    <t>Create/edit/deactivate/delete users, assign roles (FR-1.3).</t>
  </si>
  <si>
    <t>T-021</t>
  </si>
  <si>
    <t>Audit logging</t>
  </si>
  <si>
    <t>Log user + timestamp on sensitive actions</t>
  </si>
  <si>
    <t>Write audit_log entries for voids, discounts, price overrides, and login events (FR-1.4, NFR-3.3).</t>
  </si>
  <si>
    <t>T-022</t>
  </si>
  <si>
    <t>4. Menu Management</t>
  </si>
  <si>
    <t>Category management</t>
  </si>
  <si>
    <t>CRUD for menu categories</t>
  </si>
  <si>
    <t>Admin screen to create/edit/delete/reorder categories (FR-2.1).</t>
  </si>
  <si>
    <t>T-023</t>
  </si>
  <si>
    <t>Menu item management</t>
  </si>
  <si>
    <t>CRUD for menu items with pricing and tax rate</t>
  </si>
  <si>
    <t>Form with name, description, price, tax rate, category, image upload (FR-2.2).</t>
  </si>
  <si>
    <t>T-024</t>
  </si>
  <si>
    <t>Variant support (size/type pricing)</t>
  </si>
  <si>
    <t>Add variant sub-form allowing multiple priced options per item (FR-2.3).</t>
  </si>
  <si>
    <t>T-025</t>
  </si>
  <si>
    <t>Modifier / add-on support</t>
  </si>
  <si>
    <t>Attach reusable modifiers (extra cheese, spice level) with price deltas to items (FR-2.4).</t>
  </si>
  <si>
    <t>T-026</t>
  </si>
  <si>
    <t>Combo/bundle item builder</t>
  </si>
  <si>
    <t>UI to compose a combo from multiple items at a bundled price (FR-2.5).</t>
  </si>
  <si>
    <t>T-027</t>
  </si>
  <si>
    <t>Availability control</t>
  </si>
  <si>
    <t>86'd / unavailable item toggle</t>
  </si>
  <si>
    <t>One-tap toggle to hide item from ordering screen in real time without deleting it (FR-2.6).</t>
  </si>
  <si>
    <t>T-028</t>
  </si>
  <si>
    <t>Time-based menu availability windows</t>
  </si>
  <si>
    <t>Config for start/end time per item or category (e.g. breakfast menu) (FR-2.7).</t>
  </si>
  <si>
    <t>T-029</t>
  </si>
  <si>
    <t>5. Order Management</t>
  </si>
  <si>
    <t>Order creation flow</t>
  </si>
  <si>
    <t>Order type selection (Dine-in/Takeaway/Delivery)</t>
  </si>
  <si>
    <t>Entry screen branching into table selection or customer info form (FR-3.1, FR-3.2).</t>
  </si>
  <si>
    <t>T-030</t>
  </si>
  <si>
    <t>Cart/line item builder</t>
  </si>
  <si>
    <t>Add/edit/remove items with quantity, variant, modifiers, and notes (FR-3.3, FR-3.4).</t>
  </si>
  <si>
    <t>T-031</t>
  </si>
  <si>
    <t>Client-side UUID generation for new orders</t>
  </si>
  <si>
    <t>Generate UUID at order creation so offline orders remain unique after sync (FR-3.10).</t>
  </si>
  <si>
    <t>T-032</t>
  </si>
  <si>
    <t>Kitchen routing</t>
  </si>
  <si>
    <t>Send order / new items to kitchen</t>
  </si>
  <si>
    <t>Action to push new or modified line items as a kitchen ticket (FR-3.5).</t>
  </si>
  <si>
    <t>T-033</t>
  </si>
  <si>
    <t>Order lifecycle</t>
  </si>
  <si>
    <t>Implement order status state machine</t>
  </si>
  <si>
    <t>Enforce Open -&gt; Sent to Kitchen -&gt; In Prep -&gt; Ready -&gt; Served -&gt; Paid -&gt; Closed transitions (FR-3.6).</t>
  </si>
  <si>
    <t>T-034</t>
  </si>
  <si>
    <t>Order corrections</t>
  </si>
  <si>
    <t>Void order/item with approval workflow</t>
  </si>
  <si>
    <t>Manager/Admin PIN confirmation and reason code capture on void (FR-3.7).</t>
  </si>
  <si>
    <t>T-035</t>
  </si>
  <si>
    <t>Reopen closed order within time window</t>
  </si>
  <si>
    <t>Allow reopening for corrections within configurable window, Admin/Manager only (FR-3.9).</t>
  </si>
  <si>
    <t>T-036</t>
  </si>
  <si>
    <t>Table billing operations</t>
  </si>
  <si>
    <t>Merge tables / split bill</t>
  </si>
  <si>
    <t>UI to combine two open table orders or split one order into multiple bills (FR-3.8).</t>
  </si>
  <si>
    <t>T-037</t>
  </si>
  <si>
    <t>6. Table &amp; Floor Management</t>
  </si>
  <si>
    <t>Floor plan builder</t>
  </si>
  <si>
    <t>Admin floor plan layout editor</t>
  </si>
  <si>
    <t>Drag-and-drop table placement, numbering, capacity config (FR-4.2).</t>
  </si>
  <si>
    <t>T-038</t>
  </si>
  <si>
    <t>Live floor plan view with table status</t>
  </si>
  <si>
    <t>Visual grid showing Free/Occupied/Reserved/Needs Cleaning states (FR-4.1).</t>
  </si>
  <si>
    <t>T-039</t>
  </si>
  <si>
    <t>Table assignment</t>
  </si>
  <si>
    <t>Assign waiter to table/section</t>
  </si>
  <si>
    <t>Manager screen to assign staff to sections for a shift (FR-4.3).</t>
  </si>
  <si>
    <t>T-040</t>
  </si>
  <si>
    <t>Automatic status updates</t>
  </si>
  <si>
    <t>Auto-update table status on order events</t>
  </si>
  <si>
    <t>Hook table status changes to order lifecycle events (e.g. auto 'Needs Cleaning' on close) (FR-4.4).</t>
  </si>
  <si>
    <t>T-041</t>
  </si>
  <si>
    <t>7. Kitchen Display System (KDS)</t>
  </si>
  <si>
    <t>KDS core screen</t>
  </si>
  <si>
    <t>Build real-time ticket queue view</t>
  </si>
  <si>
    <t>Kitchen-facing screen listing tickets in time order via Socket.IO (FR-5.1).</t>
  </si>
  <si>
    <t>T-042</t>
  </si>
  <si>
    <t>Item/ticket status controls (In Progress/Ready)</t>
  </si>
  <si>
    <t>Buttons for kitchen staff to update prep status per item or full ticket (FR-5.2).</t>
  </si>
  <si>
    <t>T-043</t>
  </si>
  <si>
    <t>KDS alerts</t>
  </si>
  <si>
    <t>Prep-time threshold visual flagging</t>
  </si>
  <si>
    <t>Highlight tickets exceeding configurable prep time (FR-5.3).</t>
  </si>
  <si>
    <t>T-044</t>
  </si>
  <si>
    <t>Ready notification back to waiter/cashier</t>
  </si>
  <si>
    <t>Push notification/badge to POS terminal when kitchen marks ticket Ready (FR-5.4).</t>
  </si>
  <si>
    <t>T-045</t>
  </si>
  <si>
    <t>KDS offline behavior</t>
  </si>
  <si>
    <t>LAN-only fallback mode for KDS</t>
  </si>
  <si>
    <t>Ensure KDS keeps functioning via local network/server when internet is down (FR-5.5).</t>
  </si>
  <si>
    <t>T-046</t>
  </si>
  <si>
    <t>8. Payment Processing</t>
  </si>
  <si>
    <t>Payment methods</t>
  </si>
  <si>
    <t>Cash payment flow with change calculation</t>
  </si>
  <si>
    <t>Cash tendered input, automatic change-due calculation (FR-6.1, FR-6.6).</t>
  </si>
  <si>
    <t>T-047</t>
  </si>
  <si>
    <t>Card and mobile wallet payment flow</t>
  </si>
  <si>
    <t>UI for card/JazzCash/Easypaisa entry, with offline 'pending verification' state (FR-6.1, FR-6.7).</t>
  </si>
  <si>
    <t>T-048</t>
  </si>
  <si>
    <t>Bill splitting</t>
  </si>
  <si>
    <t>Split bill across methods or customers</t>
  </si>
  <si>
    <t>Equal split and custom-amount split UI across multiple payments per order (FR-6.2).</t>
  </si>
  <si>
    <t>T-049</t>
  </si>
  <si>
    <t>Tax &amp; discounts</t>
  </si>
  <si>
    <t>Automatic tax calculation engine</t>
  </si>
  <si>
    <t>Apply configured tax rules per item/category on order totals (FR-6.3).</t>
  </si>
  <si>
    <t>T-050</t>
  </si>
  <si>
    <t>Discount application with approval threshold</t>
  </si>
  <si>
    <t>Percentage/fixed discount entry with Manager/Admin approval above configurable threshold (FR-6.4).</t>
  </si>
  <si>
    <t>T-051</t>
  </si>
  <si>
    <t>Tips</t>
  </si>
  <si>
    <t>Tip entry and allocation</t>
  </si>
  <si>
    <t>Add tip field to payment screen, allocate to staff if applicable (FR-6.5).</t>
  </si>
  <si>
    <t>T-052</t>
  </si>
  <si>
    <t>9. Inventory Management</t>
  </si>
  <si>
    <t>Recipe linking</t>
  </si>
  <si>
    <t>Link menu items to ingredient quantities</t>
  </si>
  <si>
    <t>Bill-of-materials style form linking each menu item to ingredient usage (FR-7.1).</t>
  </si>
  <si>
    <t>T-053</t>
  </si>
  <si>
    <t>Stock deduction</t>
  </si>
  <si>
    <t>Auto-deduct stock on order finalization</t>
  </si>
  <si>
    <t>Deduct linked ingredient quantities when an order is paid/closed (FR-7.2).</t>
  </si>
  <si>
    <t>T-054</t>
  </si>
  <si>
    <t>Stock alerts</t>
  </si>
  <si>
    <t>Low-stock threshold alerts</t>
  </si>
  <si>
    <t>Notify Admin/Manager when ingredient stock crosses reorder threshold (FR-7.3).</t>
  </si>
  <si>
    <t>T-055</t>
  </si>
  <si>
    <t>Auto-disable menu item at zero stock</t>
  </si>
  <si>
    <t>Automatically mark item unavailable when linked ingredient hits zero (FR-7.5).</t>
  </si>
  <si>
    <t>T-056</t>
  </si>
  <si>
    <t>Manual adjustments</t>
  </si>
  <si>
    <t>Manual stock adjustment screen with audit log</t>
  </si>
  <si>
    <t>Screen for receiving stock, recording wastage/corrections, logged to audit trail (FR-7.4).</t>
  </si>
  <si>
    <t>T-057</t>
  </si>
  <si>
    <t>10. Receipt &amp; Printing</t>
  </si>
  <si>
    <t>Printer integration</t>
  </si>
  <si>
    <t>ESC/POS printer driver integration (Rust side)</t>
  </si>
  <si>
    <t>Integrate escpos crate in Tauri Rust layer for USB/LAN thermal printers.</t>
  </si>
  <si>
    <t>T-058</t>
  </si>
  <si>
    <t>Print customer receipt on payment completion</t>
  </si>
  <si>
    <t>Trigger receipt print with itemized details, tax, discount, total, payment method (FR-8.1, FR-8.5).</t>
  </si>
  <si>
    <t>T-059</t>
  </si>
  <si>
    <t>Print kitchen tickets to kitchen printer</t>
  </si>
  <si>
    <t>Optional printed kitchen ticket alongside/instead of KDS display (FR-8.2).</t>
  </si>
  <si>
    <t>T-060</t>
  </si>
  <si>
    <t>Print reliability</t>
  </si>
  <si>
    <t>Print job queue with retry on failure</t>
  </si>
  <si>
    <t>Queue and retry logic so a disconnected printer never blocks order completion (FR-8.3).</t>
  </si>
  <si>
    <t>T-061</t>
  </si>
  <si>
    <t>Reprint receipt for closed order</t>
  </si>
  <si>
    <t>Lookup and reprint historical receipts (FR-8.4).</t>
  </si>
  <si>
    <t>T-062</t>
  </si>
  <si>
    <t>11. Offline Operation &amp; Sync Engine</t>
  </si>
  <si>
    <t>Local-first data flow</t>
  </si>
  <si>
    <t>Write-to-SQLite-first architecture</t>
  </si>
  <si>
    <t>Ensure every transactional write hits local SQLite before any network call is attempted (FR-9.1, FR-9.2).</t>
  </si>
  <si>
    <t>T-063</t>
  </si>
  <si>
    <t>Sync engine</t>
  </si>
  <si>
    <t>Background connectivity detection</t>
  </si>
  <si>
    <t>Detect restored internet connectivity and trigger sync automatically (FR-9.3).</t>
  </si>
  <si>
    <t>T-064</t>
  </si>
  <si>
    <t>Idempotent upsert sync protocol</t>
  </si>
  <si>
    <t>Implement UUID-keyed idempotent upserts on the backend to prevent duplicate records (FR-9.4).</t>
  </si>
  <si>
    <t>T-065</t>
  </si>
  <si>
    <t>Conflict logging (never auto-overwrite local sales)</t>
  </si>
  <si>
    <t>Ensure server never silently overwrites a completed local sale; log conflicts for review (FR-9.5).</t>
  </si>
  <si>
    <t>T-066</t>
  </si>
  <si>
    <t>Sync UI feedback</t>
  </si>
  <si>
    <t>Sync status indicator in UI</t>
  </si>
  <si>
    <t>Visual badge showing Synced / Pending Sync / Sync Failed per order (FR-9.6).</t>
  </si>
  <si>
    <t>T-067</t>
  </si>
  <si>
    <t>12. Reporting &amp; Analytics</t>
  </si>
  <si>
    <t>Shift reports</t>
  </si>
  <si>
    <t>X-Report (mid-shift summary)</t>
  </si>
  <si>
    <t>Generate non-resetting sales summary report on demand (FR-10.1).</t>
  </si>
  <si>
    <t>T-068</t>
  </si>
  <si>
    <t>Z-Report (end-of-day summary)</t>
  </si>
  <si>
    <t>Generate and finalize end-of-day report that resets daily counters (FR-10.2).</t>
  </si>
  <si>
    <t>T-069</t>
  </si>
  <si>
    <t>Sales analytics</t>
  </si>
  <si>
    <t>Filterable sales report (date/type/method/staff)</t>
  </si>
  <si>
    <t>Report screen with filters and export, sourced from server when online (FR-10.3, FR-10.6).</t>
  </si>
  <si>
    <t>T-070</t>
  </si>
  <si>
    <t>Best/worst-selling items report</t>
  </si>
  <si>
    <t>Aggregate query and chart for top/bottom menu items over a period (FR-10.4).</t>
  </si>
  <si>
    <t>T-071</t>
  </si>
  <si>
    <t>Loss prevention reporting</t>
  </si>
  <si>
    <t>Voided/discounted transactions report</t>
  </si>
  <si>
    <t>Separate report surfacing all voids and discounts for review (FR-10.5).</t>
  </si>
  <si>
    <t>T-072</t>
  </si>
  <si>
    <t>13. Testing &amp; QA</t>
  </si>
  <si>
    <t>Unit testing</t>
  </si>
  <si>
    <t>Unit tests for order/payment/tax logic</t>
  </si>
  <si>
    <t>Cover core business logic (totals, tax, discounts, stock deduction) with unit tests.</t>
  </si>
  <si>
    <t>T-073</t>
  </si>
  <si>
    <t>Integration testing</t>
  </si>
  <si>
    <t>End-to-end order flow test (offline scenario)</t>
  </si>
  <si>
    <t>Simulate full offline order lifecycle: create -&gt; kitchen -&gt; pay -&gt; print -&gt; reconnect -&gt; sync.</t>
  </si>
  <si>
    <t>T-074</t>
  </si>
  <si>
    <t>Sync conflict scenario testing</t>
  </si>
  <si>
    <t>Test simultaneous edits/duplicate submissions to confirm idempotent sync behavior.</t>
  </si>
  <si>
    <t>T-075</t>
  </si>
  <si>
    <t>Hardware testing</t>
  </si>
  <si>
    <t>Printer failure/retry testing</t>
  </si>
  <si>
    <t>Disconnect printer mid-transaction to confirm order completion is not blocked.</t>
  </si>
  <si>
    <t>T-076</t>
  </si>
  <si>
    <t>UAT</t>
  </si>
  <si>
    <t>User acceptance testing with restaurant staff</t>
  </si>
  <si>
    <t>Walkthrough with actual cashier/waiter/kitchen staff to validate usability (NFR-4.2).</t>
  </si>
  <si>
    <t>T-077</t>
  </si>
  <si>
    <t>14. Deployment &amp; Packaging</t>
  </si>
  <si>
    <t>Desktop packaging</t>
  </si>
  <si>
    <t>Build signed Windows installer via Tauri</t>
  </si>
  <si>
    <t>Configure Tauri bundler for Windows .msi/.exe installer output.</t>
  </si>
  <si>
    <t>T-078</t>
  </si>
  <si>
    <t>Backend deployment</t>
  </si>
  <si>
    <t>Deploy Node/Express/PostgreSQL backend to VPS</t>
  </si>
  <si>
    <t>Set up production server, environment config, and database backups.</t>
  </si>
  <si>
    <t>T-079</t>
  </si>
  <si>
    <t>Configure HTTPS/TLS for API and WebSocket</t>
  </si>
  <si>
    <t>Set up SSL certificates and secure Socket.IO connection (NFR-3.2).</t>
  </si>
  <si>
    <t>T-080</t>
  </si>
  <si>
    <t>Go-live</t>
  </si>
  <si>
    <t>On-site installation and staff training</t>
  </si>
  <si>
    <t>Install on restaurant hardware, connect printer, run staff training session.</t>
  </si>
  <si>
    <t>T-081</t>
  </si>
  <si>
    <t>Post-launch monitoring and hotfix window</t>
  </si>
  <si>
    <t>Monitor first week of live usage for sync issues, printer errors, and bugs.</t>
  </si>
  <si>
    <t>Task Count</t>
  </si>
  <si>
    <t>Total Est. Hours</t>
  </si>
  <si>
    <t>TOTAL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</si>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</sst>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CCCCFF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strike val="0"/>
        <outline val="0"/>
        <shadow val="0"/>
        <u val="none"/>
        <vertAlign val="baseline"/>
        <name val="Calibri"/>
        <scheme val="minor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sksTable" displayName="TasksTable" ref="A1:I82" totalsRowShown="0" headerRowDxfId="1" dataDxfId="0">
  <autoFilter ref="A1:I82"/>
  <tableColumns count="9">
    <tableColumn id="1" name="ID" dataDxfId="10"/>
    <tableColumn id="2" name="Phase" dataDxfId="9"/>
    <tableColumn id="3" name="Task" dataDxfId="8"/>
    <tableColumn id="4" name="Subtask" dataDxfId="7"/>
    <tableColumn id="5" name="Details / Description" dataDxfId="6"/>
    <tableColumn id="6" name="Priority" dataDxfId="5"/>
    <tableColumn id="7" name="Est. Hours" dataDxfId="4"/>
    <tableColumn id="8" name="Status" dataDxfId="3"/>
    <tableColumn id="9" name="Dependencie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zoomScaleNormal="100" workbookViewId="0">
      <pane ySplit="1" topLeftCell="A2" activePane="bottomLeft" state="frozen"/>
      <selection pane="bottomLeft" activeCell="H9" sqref="H9"/>
    </sheetView>
  </sheetViews>
  <sheetFormatPr defaultColWidth="8.6640625" defaultRowHeight="14.4" x14ac:dyDescent="0.3"/>
  <cols>
    <col min="1" max="1" width="8" style="7" customWidth="1"/>
    <col min="2" max="2" width="24" style="7" customWidth="1"/>
    <col min="3" max="3" width="30" style="7" customWidth="1"/>
    <col min="4" max="4" width="34" style="7" customWidth="1"/>
    <col min="5" max="5" width="55" style="7" customWidth="1"/>
    <col min="6" max="6" width="11.5546875" style="7" bestFit="1" customWidth="1"/>
    <col min="7" max="7" width="13.77734375" style="7" bestFit="1" customWidth="1"/>
    <col min="8" max="8" width="14" style="15" customWidth="1"/>
    <col min="9" max="9" width="16" style="7" customWidth="1"/>
    <col min="10" max="16384" width="8.6640625" style="7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27.6" x14ac:dyDescent="0.3">
      <c r="A2" s="8" t="s">
        <v>9</v>
      </c>
      <c r="B2" s="9" t="s">
        <v>10</v>
      </c>
      <c r="C2" s="9" t="s">
        <v>11</v>
      </c>
      <c r="D2" s="9" t="s">
        <v>12</v>
      </c>
      <c r="E2" s="9" t="s">
        <v>13</v>
      </c>
      <c r="F2" s="10" t="s">
        <v>14</v>
      </c>
      <c r="G2" s="8">
        <v>3</v>
      </c>
      <c r="H2" s="11" t="s">
        <v>321</v>
      </c>
      <c r="I2" s="9"/>
    </row>
    <row r="3" spans="1:9" ht="27.6" x14ac:dyDescent="0.3">
      <c r="A3" s="8" t="s">
        <v>16</v>
      </c>
      <c r="B3" s="9" t="s">
        <v>10</v>
      </c>
      <c r="C3" s="9" t="s">
        <v>11</v>
      </c>
      <c r="D3" s="9" t="s">
        <v>17</v>
      </c>
      <c r="E3" s="9" t="s">
        <v>18</v>
      </c>
      <c r="F3" s="10" t="s">
        <v>14</v>
      </c>
      <c r="G3" s="8">
        <v>2</v>
      </c>
      <c r="H3" s="11" t="s">
        <v>321</v>
      </c>
      <c r="I3" s="9"/>
    </row>
    <row r="4" spans="1:9" ht="27.6" x14ac:dyDescent="0.3">
      <c r="A4" s="8" t="s">
        <v>19</v>
      </c>
      <c r="B4" s="9" t="s">
        <v>10</v>
      </c>
      <c r="C4" s="9" t="s">
        <v>11</v>
      </c>
      <c r="D4" s="9" t="s">
        <v>20</v>
      </c>
      <c r="E4" s="9" t="s">
        <v>21</v>
      </c>
      <c r="F4" s="13" t="s">
        <v>22</v>
      </c>
      <c r="G4" s="8">
        <v>2</v>
      </c>
      <c r="H4" s="11" t="s">
        <v>321</v>
      </c>
      <c r="I4" s="9"/>
    </row>
    <row r="5" spans="1:9" ht="27.6" x14ac:dyDescent="0.3">
      <c r="A5" s="8" t="s">
        <v>23</v>
      </c>
      <c r="B5" s="9" t="s">
        <v>10</v>
      </c>
      <c r="C5" s="9" t="s">
        <v>24</v>
      </c>
      <c r="D5" s="9" t="s">
        <v>25</v>
      </c>
      <c r="E5" s="9" t="s">
        <v>26</v>
      </c>
      <c r="F5" s="13" t="s">
        <v>22</v>
      </c>
      <c r="G5" s="8">
        <v>1</v>
      </c>
      <c r="H5" s="11" t="s">
        <v>321</v>
      </c>
      <c r="I5" s="9"/>
    </row>
    <row r="6" spans="1:9" ht="27.6" x14ac:dyDescent="0.3">
      <c r="A6" s="8" t="s">
        <v>27</v>
      </c>
      <c r="B6" s="9" t="s">
        <v>10</v>
      </c>
      <c r="C6" s="9" t="s">
        <v>24</v>
      </c>
      <c r="D6" s="9" t="s">
        <v>28</v>
      </c>
      <c r="E6" s="9" t="s">
        <v>29</v>
      </c>
      <c r="F6" s="14" t="s">
        <v>30</v>
      </c>
      <c r="G6" s="8">
        <v>2</v>
      </c>
      <c r="H6" s="11" t="s">
        <v>321</v>
      </c>
      <c r="I6" s="9"/>
    </row>
    <row r="7" spans="1:9" ht="27.6" x14ac:dyDescent="0.3">
      <c r="A7" s="8" t="s">
        <v>31</v>
      </c>
      <c r="B7" s="9" t="s">
        <v>10</v>
      </c>
      <c r="C7" s="9" t="s">
        <v>32</v>
      </c>
      <c r="D7" s="9" t="s">
        <v>33</v>
      </c>
      <c r="E7" s="9" t="s">
        <v>34</v>
      </c>
      <c r="F7" s="10" t="s">
        <v>14</v>
      </c>
      <c r="G7" s="8">
        <v>2</v>
      </c>
      <c r="H7" s="11" t="s">
        <v>321</v>
      </c>
      <c r="I7" s="9"/>
    </row>
    <row r="8" spans="1:9" ht="27.6" x14ac:dyDescent="0.3">
      <c r="A8" s="8" t="s">
        <v>35</v>
      </c>
      <c r="B8" s="9" t="s">
        <v>10</v>
      </c>
      <c r="C8" s="9" t="s">
        <v>32</v>
      </c>
      <c r="D8" s="9" t="s">
        <v>36</v>
      </c>
      <c r="E8" s="9" t="s">
        <v>37</v>
      </c>
      <c r="F8" s="10" t="s">
        <v>14</v>
      </c>
      <c r="G8" s="8">
        <v>3</v>
      </c>
      <c r="H8" s="11" t="s">
        <v>321</v>
      </c>
      <c r="I8" s="9"/>
    </row>
    <row r="9" spans="1:9" ht="27.6" x14ac:dyDescent="0.3">
      <c r="A9" s="8" t="s">
        <v>38</v>
      </c>
      <c r="B9" s="9" t="s">
        <v>10</v>
      </c>
      <c r="C9" s="9" t="s">
        <v>39</v>
      </c>
      <c r="D9" s="9" t="s">
        <v>40</v>
      </c>
      <c r="E9" s="9" t="s">
        <v>41</v>
      </c>
      <c r="F9" s="10" t="s">
        <v>14</v>
      </c>
      <c r="G9" s="8">
        <v>3</v>
      </c>
      <c r="H9" s="11" t="s">
        <v>321</v>
      </c>
      <c r="I9" s="9"/>
    </row>
    <row r="10" spans="1:9" ht="27.6" x14ac:dyDescent="0.3">
      <c r="A10" s="8" t="s">
        <v>42</v>
      </c>
      <c r="B10" s="9" t="s">
        <v>43</v>
      </c>
      <c r="C10" s="9" t="s">
        <v>44</v>
      </c>
      <c r="D10" s="9" t="s">
        <v>45</v>
      </c>
      <c r="E10" s="9" t="s">
        <v>46</v>
      </c>
      <c r="F10" s="10" t="s">
        <v>14</v>
      </c>
      <c r="G10" s="8">
        <v>5</v>
      </c>
      <c r="H10" s="12" t="s">
        <v>15</v>
      </c>
      <c r="I10" s="9"/>
    </row>
    <row r="11" spans="1:9" ht="27.6" x14ac:dyDescent="0.3">
      <c r="A11" s="8" t="s">
        <v>47</v>
      </c>
      <c r="B11" s="9" t="s">
        <v>43</v>
      </c>
      <c r="C11" s="9" t="s">
        <v>44</v>
      </c>
      <c r="D11" s="9" t="s">
        <v>48</v>
      </c>
      <c r="E11" s="9" t="s">
        <v>49</v>
      </c>
      <c r="F11" s="10" t="s">
        <v>14</v>
      </c>
      <c r="G11" s="8">
        <v>4</v>
      </c>
      <c r="H11" s="12" t="s">
        <v>15</v>
      </c>
      <c r="I11" s="9"/>
    </row>
    <row r="12" spans="1:9" ht="27.6" x14ac:dyDescent="0.3">
      <c r="A12" s="8" t="s">
        <v>50</v>
      </c>
      <c r="B12" s="9" t="s">
        <v>43</v>
      </c>
      <c r="C12" s="9" t="s">
        <v>44</v>
      </c>
      <c r="D12" s="9" t="s">
        <v>51</v>
      </c>
      <c r="E12" s="9" t="s">
        <v>52</v>
      </c>
      <c r="F12" s="10" t="s">
        <v>14</v>
      </c>
      <c r="G12" s="8">
        <v>2</v>
      </c>
      <c r="H12" s="12" t="s">
        <v>15</v>
      </c>
      <c r="I12" s="9"/>
    </row>
    <row r="13" spans="1:9" ht="27.6" x14ac:dyDescent="0.3">
      <c r="A13" s="8" t="s">
        <v>53</v>
      </c>
      <c r="B13" s="9" t="s">
        <v>43</v>
      </c>
      <c r="C13" s="9" t="s">
        <v>54</v>
      </c>
      <c r="D13" s="9" t="s">
        <v>55</v>
      </c>
      <c r="E13" s="9" t="s">
        <v>56</v>
      </c>
      <c r="F13" s="10" t="s">
        <v>14</v>
      </c>
      <c r="G13" s="8">
        <v>4</v>
      </c>
      <c r="H13" s="12" t="s">
        <v>15</v>
      </c>
      <c r="I13" s="9"/>
    </row>
    <row r="14" spans="1:9" ht="27.6" x14ac:dyDescent="0.3">
      <c r="A14" s="8" t="s">
        <v>57</v>
      </c>
      <c r="B14" s="9" t="s">
        <v>43</v>
      </c>
      <c r="C14" s="9" t="s">
        <v>54</v>
      </c>
      <c r="D14" s="9" t="s">
        <v>58</v>
      </c>
      <c r="E14" s="9" t="s">
        <v>59</v>
      </c>
      <c r="F14" s="13" t="s">
        <v>22</v>
      </c>
      <c r="G14" s="8">
        <v>3</v>
      </c>
      <c r="H14" s="12" t="s">
        <v>15</v>
      </c>
      <c r="I14" s="9"/>
    </row>
    <row r="15" spans="1:9" ht="27.6" x14ac:dyDescent="0.3">
      <c r="A15" s="8" t="s">
        <v>60</v>
      </c>
      <c r="B15" s="9" t="s">
        <v>43</v>
      </c>
      <c r="C15" s="9" t="s">
        <v>61</v>
      </c>
      <c r="D15" s="9" t="s">
        <v>62</v>
      </c>
      <c r="E15" s="9" t="s">
        <v>63</v>
      </c>
      <c r="F15" s="13" t="s">
        <v>22</v>
      </c>
      <c r="G15" s="8">
        <v>2</v>
      </c>
      <c r="H15" s="12" t="s">
        <v>15</v>
      </c>
      <c r="I15" s="9"/>
    </row>
    <row r="16" spans="1:9" ht="27.6" x14ac:dyDescent="0.3">
      <c r="A16" s="8" t="s">
        <v>64</v>
      </c>
      <c r="B16" s="9" t="s">
        <v>65</v>
      </c>
      <c r="C16" s="9" t="s">
        <v>66</v>
      </c>
      <c r="D16" s="9" t="s">
        <v>67</v>
      </c>
      <c r="E16" s="9" t="s">
        <v>68</v>
      </c>
      <c r="F16" s="10" t="s">
        <v>14</v>
      </c>
      <c r="G16" s="8">
        <v>3</v>
      </c>
      <c r="H16" s="12" t="s">
        <v>15</v>
      </c>
      <c r="I16" s="9"/>
    </row>
    <row r="17" spans="1:9" ht="27.6" x14ac:dyDescent="0.3">
      <c r="A17" s="8" t="s">
        <v>69</v>
      </c>
      <c r="B17" s="9" t="s">
        <v>65</v>
      </c>
      <c r="C17" s="9" t="s">
        <v>66</v>
      </c>
      <c r="D17" s="9" t="s">
        <v>70</v>
      </c>
      <c r="E17" s="9" t="s">
        <v>71</v>
      </c>
      <c r="F17" s="10" t="s">
        <v>14</v>
      </c>
      <c r="G17" s="8">
        <v>4</v>
      </c>
      <c r="H17" s="12" t="s">
        <v>15</v>
      </c>
      <c r="I17" s="9"/>
    </row>
    <row r="18" spans="1:9" ht="27.6" x14ac:dyDescent="0.3">
      <c r="A18" s="8" t="s">
        <v>72</v>
      </c>
      <c r="B18" s="9" t="s">
        <v>65</v>
      </c>
      <c r="C18" s="9" t="s">
        <v>66</v>
      </c>
      <c r="D18" s="9" t="s">
        <v>73</v>
      </c>
      <c r="E18" s="9" t="s">
        <v>74</v>
      </c>
      <c r="F18" s="13" t="s">
        <v>22</v>
      </c>
      <c r="G18" s="8">
        <v>3</v>
      </c>
      <c r="H18" s="12" t="s">
        <v>15</v>
      </c>
      <c r="I18" s="9"/>
    </row>
    <row r="19" spans="1:9" ht="27.6" x14ac:dyDescent="0.3">
      <c r="A19" s="8" t="s">
        <v>75</v>
      </c>
      <c r="B19" s="9" t="s">
        <v>65</v>
      </c>
      <c r="C19" s="9" t="s">
        <v>76</v>
      </c>
      <c r="D19" s="9" t="s">
        <v>77</v>
      </c>
      <c r="E19" s="9" t="s">
        <v>78</v>
      </c>
      <c r="F19" s="10" t="s">
        <v>14</v>
      </c>
      <c r="G19" s="8">
        <v>3</v>
      </c>
      <c r="H19" s="12" t="s">
        <v>15</v>
      </c>
      <c r="I19" s="9"/>
    </row>
    <row r="20" spans="1:9" ht="27.6" x14ac:dyDescent="0.3">
      <c r="A20" s="8" t="s">
        <v>79</v>
      </c>
      <c r="B20" s="9" t="s">
        <v>65</v>
      </c>
      <c r="C20" s="9" t="s">
        <v>76</v>
      </c>
      <c r="D20" s="9" t="s">
        <v>80</v>
      </c>
      <c r="E20" s="9" t="s">
        <v>81</v>
      </c>
      <c r="F20" s="10" t="s">
        <v>14</v>
      </c>
      <c r="G20" s="8">
        <v>3</v>
      </c>
      <c r="H20" s="12" t="s">
        <v>15</v>
      </c>
      <c r="I20" s="9"/>
    </row>
    <row r="21" spans="1:9" ht="27.6" x14ac:dyDescent="0.3">
      <c r="A21" s="8" t="s">
        <v>82</v>
      </c>
      <c r="B21" s="9" t="s">
        <v>65</v>
      </c>
      <c r="C21" s="9" t="s">
        <v>83</v>
      </c>
      <c r="D21" s="9" t="s">
        <v>84</v>
      </c>
      <c r="E21" s="9" t="s">
        <v>85</v>
      </c>
      <c r="F21" s="13" t="s">
        <v>22</v>
      </c>
      <c r="G21" s="8">
        <v>4</v>
      </c>
      <c r="H21" s="12" t="s">
        <v>15</v>
      </c>
      <c r="I21" s="9"/>
    </row>
    <row r="22" spans="1:9" ht="27.6" x14ac:dyDescent="0.3">
      <c r="A22" s="8" t="s">
        <v>86</v>
      </c>
      <c r="B22" s="9" t="s">
        <v>65</v>
      </c>
      <c r="C22" s="9" t="s">
        <v>87</v>
      </c>
      <c r="D22" s="9" t="s">
        <v>88</v>
      </c>
      <c r="E22" s="9" t="s">
        <v>89</v>
      </c>
      <c r="F22" s="10" t="s">
        <v>14</v>
      </c>
      <c r="G22" s="8">
        <v>3</v>
      </c>
      <c r="H22" s="12" t="s">
        <v>15</v>
      </c>
      <c r="I22" s="9"/>
    </row>
    <row r="23" spans="1:9" x14ac:dyDescent="0.3">
      <c r="A23" s="8" t="s">
        <v>90</v>
      </c>
      <c r="B23" s="9" t="s">
        <v>91</v>
      </c>
      <c r="C23" s="9" t="s">
        <v>92</v>
      </c>
      <c r="D23" s="9" t="s">
        <v>93</v>
      </c>
      <c r="E23" s="9" t="s">
        <v>94</v>
      </c>
      <c r="F23" s="10" t="s">
        <v>14</v>
      </c>
      <c r="G23" s="8">
        <v>3</v>
      </c>
      <c r="H23" s="12" t="s">
        <v>15</v>
      </c>
      <c r="I23" s="9"/>
    </row>
    <row r="24" spans="1:9" ht="27.6" x14ac:dyDescent="0.3">
      <c r="A24" s="8" t="s">
        <v>95</v>
      </c>
      <c r="B24" s="9" t="s">
        <v>91</v>
      </c>
      <c r="C24" s="9" t="s">
        <v>96</v>
      </c>
      <c r="D24" s="9" t="s">
        <v>97</v>
      </c>
      <c r="E24" s="9" t="s">
        <v>98</v>
      </c>
      <c r="F24" s="10" t="s">
        <v>14</v>
      </c>
      <c r="G24" s="8">
        <v>5</v>
      </c>
      <c r="H24" s="12" t="s">
        <v>15</v>
      </c>
      <c r="I24" s="9"/>
    </row>
    <row r="25" spans="1:9" ht="27.6" x14ac:dyDescent="0.3">
      <c r="A25" s="8" t="s">
        <v>99</v>
      </c>
      <c r="B25" s="9" t="s">
        <v>91</v>
      </c>
      <c r="C25" s="9" t="s">
        <v>96</v>
      </c>
      <c r="D25" s="9" t="s">
        <v>100</v>
      </c>
      <c r="E25" s="9" t="s">
        <v>101</v>
      </c>
      <c r="F25" s="10" t="s">
        <v>14</v>
      </c>
      <c r="G25" s="8">
        <v>4</v>
      </c>
      <c r="H25" s="12" t="s">
        <v>15</v>
      </c>
      <c r="I25" s="9"/>
    </row>
    <row r="26" spans="1:9" ht="27.6" x14ac:dyDescent="0.3">
      <c r="A26" s="8" t="s">
        <v>102</v>
      </c>
      <c r="B26" s="9" t="s">
        <v>91</v>
      </c>
      <c r="C26" s="9" t="s">
        <v>96</v>
      </c>
      <c r="D26" s="9" t="s">
        <v>103</v>
      </c>
      <c r="E26" s="9" t="s">
        <v>104</v>
      </c>
      <c r="F26" s="13" t="s">
        <v>22</v>
      </c>
      <c r="G26" s="8">
        <v>4</v>
      </c>
      <c r="H26" s="12" t="s">
        <v>15</v>
      </c>
      <c r="I26" s="9"/>
    </row>
    <row r="27" spans="1:9" ht="27.6" x14ac:dyDescent="0.3">
      <c r="A27" s="8" t="s">
        <v>105</v>
      </c>
      <c r="B27" s="9" t="s">
        <v>91</v>
      </c>
      <c r="C27" s="9" t="s">
        <v>96</v>
      </c>
      <c r="D27" s="9" t="s">
        <v>106</v>
      </c>
      <c r="E27" s="9" t="s">
        <v>107</v>
      </c>
      <c r="F27" s="13" t="s">
        <v>22</v>
      </c>
      <c r="G27" s="8">
        <v>5</v>
      </c>
      <c r="H27" s="12" t="s">
        <v>15</v>
      </c>
      <c r="I27" s="9"/>
    </row>
    <row r="28" spans="1:9" ht="27.6" x14ac:dyDescent="0.3">
      <c r="A28" s="8" t="s">
        <v>108</v>
      </c>
      <c r="B28" s="9" t="s">
        <v>91</v>
      </c>
      <c r="C28" s="9" t="s">
        <v>109</v>
      </c>
      <c r="D28" s="9" t="s">
        <v>110</v>
      </c>
      <c r="E28" s="9" t="s">
        <v>111</v>
      </c>
      <c r="F28" s="10" t="s">
        <v>14</v>
      </c>
      <c r="G28" s="8">
        <v>2</v>
      </c>
      <c r="H28" s="12" t="s">
        <v>15</v>
      </c>
      <c r="I28" s="9"/>
    </row>
    <row r="29" spans="1:9" ht="27.6" x14ac:dyDescent="0.3">
      <c r="A29" s="8" t="s">
        <v>112</v>
      </c>
      <c r="B29" s="9" t="s">
        <v>91</v>
      </c>
      <c r="C29" s="9" t="s">
        <v>109</v>
      </c>
      <c r="D29" s="9" t="s">
        <v>113</v>
      </c>
      <c r="E29" s="9" t="s">
        <v>114</v>
      </c>
      <c r="F29" s="14" t="s">
        <v>30</v>
      </c>
      <c r="G29" s="8">
        <v>3</v>
      </c>
      <c r="H29" s="12" t="s">
        <v>15</v>
      </c>
      <c r="I29" s="9"/>
    </row>
    <row r="30" spans="1:9" ht="27.6" x14ac:dyDescent="0.3">
      <c r="A30" s="8" t="s">
        <v>115</v>
      </c>
      <c r="B30" s="9" t="s">
        <v>116</v>
      </c>
      <c r="C30" s="9" t="s">
        <v>117</v>
      </c>
      <c r="D30" s="9" t="s">
        <v>118</v>
      </c>
      <c r="E30" s="9" t="s">
        <v>119</v>
      </c>
      <c r="F30" s="10" t="s">
        <v>14</v>
      </c>
      <c r="G30" s="8">
        <v>3</v>
      </c>
      <c r="H30" s="12" t="s">
        <v>15</v>
      </c>
      <c r="I30" s="9"/>
    </row>
    <row r="31" spans="1:9" ht="27.6" x14ac:dyDescent="0.3">
      <c r="A31" s="8" t="s">
        <v>120</v>
      </c>
      <c r="B31" s="9" t="s">
        <v>116</v>
      </c>
      <c r="C31" s="9" t="s">
        <v>117</v>
      </c>
      <c r="D31" s="9" t="s">
        <v>121</v>
      </c>
      <c r="E31" s="9" t="s">
        <v>122</v>
      </c>
      <c r="F31" s="10" t="s">
        <v>14</v>
      </c>
      <c r="G31" s="8">
        <v>6</v>
      </c>
      <c r="H31" s="12" t="s">
        <v>15</v>
      </c>
      <c r="I31" s="9"/>
    </row>
    <row r="32" spans="1:9" ht="27.6" x14ac:dyDescent="0.3">
      <c r="A32" s="8" t="s">
        <v>123</v>
      </c>
      <c r="B32" s="9" t="s">
        <v>116</v>
      </c>
      <c r="C32" s="9" t="s">
        <v>117</v>
      </c>
      <c r="D32" s="9" t="s">
        <v>124</v>
      </c>
      <c r="E32" s="9" t="s">
        <v>125</v>
      </c>
      <c r="F32" s="10" t="s">
        <v>14</v>
      </c>
      <c r="G32" s="8">
        <v>2</v>
      </c>
      <c r="H32" s="12" t="s">
        <v>15</v>
      </c>
      <c r="I32" s="9"/>
    </row>
    <row r="33" spans="1:9" ht="27.6" x14ac:dyDescent="0.3">
      <c r="A33" s="8" t="s">
        <v>126</v>
      </c>
      <c r="B33" s="9" t="s">
        <v>116</v>
      </c>
      <c r="C33" s="9" t="s">
        <v>127</v>
      </c>
      <c r="D33" s="9" t="s">
        <v>128</v>
      </c>
      <c r="E33" s="9" t="s">
        <v>129</v>
      </c>
      <c r="F33" s="10" t="s">
        <v>14</v>
      </c>
      <c r="G33" s="8">
        <v>3</v>
      </c>
      <c r="H33" s="12" t="s">
        <v>15</v>
      </c>
      <c r="I33" s="9"/>
    </row>
    <row r="34" spans="1:9" ht="27.6" x14ac:dyDescent="0.3">
      <c r="A34" s="8" t="s">
        <v>130</v>
      </c>
      <c r="B34" s="9" t="s">
        <v>116</v>
      </c>
      <c r="C34" s="9" t="s">
        <v>131</v>
      </c>
      <c r="D34" s="9" t="s">
        <v>132</v>
      </c>
      <c r="E34" s="9" t="s">
        <v>133</v>
      </c>
      <c r="F34" s="10" t="s">
        <v>14</v>
      </c>
      <c r="G34" s="8">
        <v>4</v>
      </c>
      <c r="H34" s="12" t="s">
        <v>15</v>
      </c>
      <c r="I34" s="9"/>
    </row>
    <row r="35" spans="1:9" ht="27.6" x14ac:dyDescent="0.3">
      <c r="A35" s="8" t="s">
        <v>134</v>
      </c>
      <c r="B35" s="9" t="s">
        <v>116</v>
      </c>
      <c r="C35" s="9" t="s">
        <v>135</v>
      </c>
      <c r="D35" s="9" t="s">
        <v>136</v>
      </c>
      <c r="E35" s="9" t="s">
        <v>137</v>
      </c>
      <c r="F35" s="10" t="s">
        <v>14</v>
      </c>
      <c r="G35" s="8">
        <v>3</v>
      </c>
      <c r="H35" s="12" t="s">
        <v>15</v>
      </c>
      <c r="I35" s="9"/>
    </row>
    <row r="36" spans="1:9" ht="27.6" x14ac:dyDescent="0.3">
      <c r="A36" s="8" t="s">
        <v>138</v>
      </c>
      <c r="B36" s="9" t="s">
        <v>116</v>
      </c>
      <c r="C36" s="9" t="s">
        <v>135</v>
      </c>
      <c r="D36" s="9" t="s">
        <v>139</v>
      </c>
      <c r="E36" s="9" t="s">
        <v>140</v>
      </c>
      <c r="F36" s="13" t="s">
        <v>22</v>
      </c>
      <c r="G36" s="8">
        <v>3</v>
      </c>
      <c r="H36" s="12" t="s">
        <v>15</v>
      </c>
      <c r="I36" s="9"/>
    </row>
    <row r="37" spans="1:9" ht="27.6" x14ac:dyDescent="0.3">
      <c r="A37" s="8" t="s">
        <v>141</v>
      </c>
      <c r="B37" s="9" t="s">
        <v>116</v>
      </c>
      <c r="C37" s="9" t="s">
        <v>142</v>
      </c>
      <c r="D37" s="9" t="s">
        <v>143</v>
      </c>
      <c r="E37" s="9" t="s">
        <v>144</v>
      </c>
      <c r="F37" s="13" t="s">
        <v>22</v>
      </c>
      <c r="G37" s="8">
        <v>5</v>
      </c>
      <c r="H37" s="12" t="s">
        <v>15</v>
      </c>
      <c r="I37" s="9"/>
    </row>
    <row r="38" spans="1:9" ht="27.6" x14ac:dyDescent="0.3">
      <c r="A38" s="8" t="s">
        <v>145</v>
      </c>
      <c r="B38" s="9" t="s">
        <v>146</v>
      </c>
      <c r="C38" s="9" t="s">
        <v>147</v>
      </c>
      <c r="D38" s="9" t="s">
        <v>148</v>
      </c>
      <c r="E38" s="9" t="s">
        <v>149</v>
      </c>
      <c r="F38" s="13" t="s">
        <v>22</v>
      </c>
      <c r="G38" s="8">
        <v>5</v>
      </c>
      <c r="H38" s="12" t="s">
        <v>15</v>
      </c>
      <c r="I38" s="9"/>
    </row>
    <row r="39" spans="1:9" ht="27.6" x14ac:dyDescent="0.3">
      <c r="A39" s="8" t="s">
        <v>150</v>
      </c>
      <c r="B39" s="9" t="s">
        <v>146</v>
      </c>
      <c r="C39" s="9" t="s">
        <v>147</v>
      </c>
      <c r="D39" s="9" t="s">
        <v>151</v>
      </c>
      <c r="E39" s="9" t="s">
        <v>152</v>
      </c>
      <c r="F39" s="10" t="s">
        <v>14</v>
      </c>
      <c r="G39" s="8">
        <v>4</v>
      </c>
      <c r="H39" s="12" t="s">
        <v>15</v>
      </c>
      <c r="I39" s="9"/>
    </row>
    <row r="40" spans="1:9" ht="27.6" x14ac:dyDescent="0.3">
      <c r="A40" s="8" t="s">
        <v>153</v>
      </c>
      <c r="B40" s="9" t="s">
        <v>146</v>
      </c>
      <c r="C40" s="9" t="s">
        <v>154</v>
      </c>
      <c r="D40" s="9" t="s">
        <v>155</v>
      </c>
      <c r="E40" s="9" t="s">
        <v>156</v>
      </c>
      <c r="F40" s="14" t="s">
        <v>30</v>
      </c>
      <c r="G40" s="8">
        <v>2</v>
      </c>
      <c r="H40" s="12" t="s">
        <v>15</v>
      </c>
      <c r="I40" s="9"/>
    </row>
    <row r="41" spans="1:9" ht="27.6" x14ac:dyDescent="0.3">
      <c r="A41" s="8" t="s">
        <v>157</v>
      </c>
      <c r="B41" s="9" t="s">
        <v>146</v>
      </c>
      <c r="C41" s="9" t="s">
        <v>158</v>
      </c>
      <c r="D41" s="9" t="s">
        <v>159</v>
      </c>
      <c r="E41" s="9" t="s">
        <v>160</v>
      </c>
      <c r="F41" s="13" t="s">
        <v>22</v>
      </c>
      <c r="G41" s="8">
        <v>3</v>
      </c>
      <c r="H41" s="12" t="s">
        <v>15</v>
      </c>
      <c r="I41" s="9"/>
    </row>
    <row r="42" spans="1:9" ht="27.6" x14ac:dyDescent="0.3">
      <c r="A42" s="8" t="s">
        <v>161</v>
      </c>
      <c r="B42" s="9" t="s">
        <v>162</v>
      </c>
      <c r="C42" s="9" t="s">
        <v>163</v>
      </c>
      <c r="D42" s="9" t="s">
        <v>164</v>
      </c>
      <c r="E42" s="9" t="s">
        <v>165</v>
      </c>
      <c r="F42" s="10" t="s">
        <v>14</v>
      </c>
      <c r="G42" s="8">
        <v>5</v>
      </c>
      <c r="H42" s="12" t="s">
        <v>15</v>
      </c>
      <c r="I42" s="9"/>
    </row>
    <row r="43" spans="1:9" ht="27.6" x14ac:dyDescent="0.3">
      <c r="A43" s="8" t="s">
        <v>166</v>
      </c>
      <c r="B43" s="9" t="s">
        <v>162</v>
      </c>
      <c r="C43" s="9" t="s">
        <v>163</v>
      </c>
      <c r="D43" s="9" t="s">
        <v>167</v>
      </c>
      <c r="E43" s="9" t="s">
        <v>168</v>
      </c>
      <c r="F43" s="10" t="s">
        <v>14</v>
      </c>
      <c r="G43" s="8">
        <v>3</v>
      </c>
      <c r="H43" s="12" t="s">
        <v>15</v>
      </c>
      <c r="I43" s="9"/>
    </row>
    <row r="44" spans="1:9" ht="27.6" x14ac:dyDescent="0.3">
      <c r="A44" s="8" t="s">
        <v>169</v>
      </c>
      <c r="B44" s="9" t="s">
        <v>162</v>
      </c>
      <c r="C44" s="9" t="s">
        <v>170</v>
      </c>
      <c r="D44" s="9" t="s">
        <v>171</v>
      </c>
      <c r="E44" s="9" t="s">
        <v>172</v>
      </c>
      <c r="F44" s="13" t="s">
        <v>22</v>
      </c>
      <c r="G44" s="8">
        <v>2</v>
      </c>
      <c r="H44" s="12" t="s">
        <v>15</v>
      </c>
      <c r="I44" s="9"/>
    </row>
    <row r="45" spans="1:9" ht="27.6" x14ac:dyDescent="0.3">
      <c r="A45" s="8" t="s">
        <v>173</v>
      </c>
      <c r="B45" s="9" t="s">
        <v>162</v>
      </c>
      <c r="C45" s="9" t="s">
        <v>170</v>
      </c>
      <c r="D45" s="9" t="s">
        <v>174</v>
      </c>
      <c r="E45" s="9" t="s">
        <v>175</v>
      </c>
      <c r="F45" s="13" t="s">
        <v>22</v>
      </c>
      <c r="G45" s="8">
        <v>3</v>
      </c>
      <c r="H45" s="12" t="s">
        <v>15</v>
      </c>
      <c r="I45" s="9"/>
    </row>
    <row r="46" spans="1:9" ht="27.6" x14ac:dyDescent="0.3">
      <c r="A46" s="8" t="s">
        <v>176</v>
      </c>
      <c r="B46" s="9" t="s">
        <v>162</v>
      </c>
      <c r="C46" s="9" t="s">
        <v>177</v>
      </c>
      <c r="D46" s="9" t="s">
        <v>178</v>
      </c>
      <c r="E46" s="9" t="s">
        <v>179</v>
      </c>
      <c r="F46" s="10" t="s">
        <v>14</v>
      </c>
      <c r="G46" s="8">
        <v>4</v>
      </c>
      <c r="H46" s="12" t="s">
        <v>15</v>
      </c>
      <c r="I46" s="9"/>
    </row>
    <row r="47" spans="1:9" ht="27.6" x14ac:dyDescent="0.3">
      <c r="A47" s="8" t="s">
        <v>180</v>
      </c>
      <c r="B47" s="9" t="s">
        <v>181</v>
      </c>
      <c r="C47" s="9" t="s">
        <v>182</v>
      </c>
      <c r="D47" s="9" t="s">
        <v>183</v>
      </c>
      <c r="E47" s="9" t="s">
        <v>184</v>
      </c>
      <c r="F47" s="10" t="s">
        <v>14</v>
      </c>
      <c r="G47" s="8">
        <v>3</v>
      </c>
      <c r="H47" s="12" t="s">
        <v>15</v>
      </c>
      <c r="I47" s="9"/>
    </row>
    <row r="48" spans="1:9" ht="27.6" x14ac:dyDescent="0.3">
      <c r="A48" s="8" t="s">
        <v>185</v>
      </c>
      <c r="B48" s="9" t="s">
        <v>181</v>
      </c>
      <c r="C48" s="9" t="s">
        <v>182</v>
      </c>
      <c r="D48" s="9" t="s">
        <v>186</v>
      </c>
      <c r="E48" s="9" t="s">
        <v>187</v>
      </c>
      <c r="F48" s="10" t="s">
        <v>14</v>
      </c>
      <c r="G48" s="8">
        <v>4</v>
      </c>
      <c r="H48" s="12" t="s">
        <v>15</v>
      </c>
      <c r="I48" s="9"/>
    </row>
    <row r="49" spans="1:9" ht="27.6" x14ac:dyDescent="0.3">
      <c r="A49" s="8" t="s">
        <v>188</v>
      </c>
      <c r="B49" s="9" t="s">
        <v>181</v>
      </c>
      <c r="C49" s="9" t="s">
        <v>189</v>
      </c>
      <c r="D49" s="9" t="s">
        <v>190</v>
      </c>
      <c r="E49" s="9" t="s">
        <v>191</v>
      </c>
      <c r="F49" s="13" t="s">
        <v>22</v>
      </c>
      <c r="G49" s="8">
        <v>5</v>
      </c>
      <c r="H49" s="12" t="s">
        <v>15</v>
      </c>
      <c r="I49" s="9"/>
    </row>
    <row r="50" spans="1:9" ht="27.6" x14ac:dyDescent="0.3">
      <c r="A50" s="8" t="s">
        <v>192</v>
      </c>
      <c r="B50" s="9" t="s">
        <v>181</v>
      </c>
      <c r="C50" s="9" t="s">
        <v>193</v>
      </c>
      <c r="D50" s="9" t="s">
        <v>194</v>
      </c>
      <c r="E50" s="9" t="s">
        <v>195</v>
      </c>
      <c r="F50" s="10" t="s">
        <v>14</v>
      </c>
      <c r="G50" s="8">
        <v>3</v>
      </c>
      <c r="H50" s="12" t="s">
        <v>15</v>
      </c>
      <c r="I50" s="9"/>
    </row>
    <row r="51" spans="1:9" ht="27.6" x14ac:dyDescent="0.3">
      <c r="A51" s="8" t="s">
        <v>196</v>
      </c>
      <c r="B51" s="9" t="s">
        <v>181</v>
      </c>
      <c r="C51" s="9" t="s">
        <v>193</v>
      </c>
      <c r="D51" s="9" t="s">
        <v>197</v>
      </c>
      <c r="E51" s="9" t="s">
        <v>198</v>
      </c>
      <c r="F51" s="13" t="s">
        <v>22</v>
      </c>
      <c r="G51" s="8">
        <v>3</v>
      </c>
      <c r="H51" s="12" t="s">
        <v>15</v>
      </c>
      <c r="I51" s="9"/>
    </row>
    <row r="52" spans="1:9" ht="27.6" x14ac:dyDescent="0.3">
      <c r="A52" s="8" t="s">
        <v>199</v>
      </c>
      <c r="B52" s="9" t="s">
        <v>181</v>
      </c>
      <c r="C52" s="9" t="s">
        <v>200</v>
      </c>
      <c r="D52" s="9" t="s">
        <v>201</v>
      </c>
      <c r="E52" s="9" t="s">
        <v>202</v>
      </c>
      <c r="F52" s="14" t="s">
        <v>30</v>
      </c>
      <c r="G52" s="8">
        <v>2</v>
      </c>
      <c r="H52" s="12" t="s">
        <v>15</v>
      </c>
      <c r="I52" s="9"/>
    </row>
    <row r="53" spans="1:9" ht="27.6" x14ac:dyDescent="0.3">
      <c r="A53" s="8" t="s">
        <v>203</v>
      </c>
      <c r="B53" s="9" t="s">
        <v>204</v>
      </c>
      <c r="C53" s="9" t="s">
        <v>205</v>
      </c>
      <c r="D53" s="9" t="s">
        <v>206</v>
      </c>
      <c r="E53" s="9" t="s">
        <v>207</v>
      </c>
      <c r="F53" s="13" t="s">
        <v>22</v>
      </c>
      <c r="G53" s="8">
        <v>4</v>
      </c>
      <c r="H53" s="12" t="s">
        <v>15</v>
      </c>
      <c r="I53" s="9"/>
    </row>
    <row r="54" spans="1:9" ht="27.6" x14ac:dyDescent="0.3">
      <c r="A54" s="8" t="s">
        <v>208</v>
      </c>
      <c r="B54" s="9" t="s">
        <v>204</v>
      </c>
      <c r="C54" s="9" t="s">
        <v>209</v>
      </c>
      <c r="D54" s="9" t="s">
        <v>210</v>
      </c>
      <c r="E54" s="9" t="s">
        <v>211</v>
      </c>
      <c r="F54" s="10" t="s">
        <v>14</v>
      </c>
      <c r="G54" s="8">
        <v>4</v>
      </c>
      <c r="H54" s="12" t="s">
        <v>15</v>
      </c>
      <c r="I54" s="9"/>
    </row>
    <row r="55" spans="1:9" ht="27.6" x14ac:dyDescent="0.3">
      <c r="A55" s="8" t="s">
        <v>212</v>
      </c>
      <c r="B55" s="9" t="s">
        <v>204</v>
      </c>
      <c r="C55" s="9" t="s">
        <v>213</v>
      </c>
      <c r="D55" s="9" t="s">
        <v>214</v>
      </c>
      <c r="E55" s="9" t="s">
        <v>215</v>
      </c>
      <c r="F55" s="13" t="s">
        <v>22</v>
      </c>
      <c r="G55" s="8">
        <v>2</v>
      </c>
      <c r="H55" s="12" t="s">
        <v>15</v>
      </c>
      <c r="I55" s="9"/>
    </row>
    <row r="56" spans="1:9" ht="27.6" x14ac:dyDescent="0.3">
      <c r="A56" s="8" t="s">
        <v>216</v>
      </c>
      <c r="B56" s="9" t="s">
        <v>204</v>
      </c>
      <c r="C56" s="9" t="s">
        <v>213</v>
      </c>
      <c r="D56" s="9" t="s">
        <v>217</v>
      </c>
      <c r="E56" s="9" t="s">
        <v>218</v>
      </c>
      <c r="F56" s="13" t="s">
        <v>22</v>
      </c>
      <c r="G56" s="8">
        <v>2</v>
      </c>
      <c r="H56" s="12" t="s">
        <v>15</v>
      </c>
      <c r="I56" s="9"/>
    </row>
    <row r="57" spans="1:9" ht="27.6" x14ac:dyDescent="0.3">
      <c r="A57" s="8" t="s">
        <v>219</v>
      </c>
      <c r="B57" s="9" t="s">
        <v>204</v>
      </c>
      <c r="C57" s="9" t="s">
        <v>220</v>
      </c>
      <c r="D57" s="9" t="s">
        <v>221</v>
      </c>
      <c r="E57" s="9" t="s">
        <v>222</v>
      </c>
      <c r="F57" s="14" t="s">
        <v>30</v>
      </c>
      <c r="G57" s="8">
        <v>3</v>
      </c>
      <c r="H57" s="12" t="s">
        <v>15</v>
      </c>
      <c r="I57" s="9"/>
    </row>
    <row r="58" spans="1:9" ht="27.6" x14ac:dyDescent="0.3">
      <c r="A58" s="8" t="s">
        <v>223</v>
      </c>
      <c r="B58" s="9" t="s">
        <v>224</v>
      </c>
      <c r="C58" s="9" t="s">
        <v>225</v>
      </c>
      <c r="D58" s="9" t="s">
        <v>226</v>
      </c>
      <c r="E58" s="9" t="s">
        <v>227</v>
      </c>
      <c r="F58" s="10" t="s">
        <v>14</v>
      </c>
      <c r="G58" s="8">
        <v>5</v>
      </c>
      <c r="H58" s="12" t="s">
        <v>15</v>
      </c>
      <c r="I58" s="9"/>
    </row>
    <row r="59" spans="1:9" ht="27.6" x14ac:dyDescent="0.3">
      <c r="A59" s="8" t="s">
        <v>228</v>
      </c>
      <c r="B59" s="9" t="s">
        <v>224</v>
      </c>
      <c r="C59" s="9" t="s">
        <v>225</v>
      </c>
      <c r="D59" s="9" t="s">
        <v>229</v>
      </c>
      <c r="E59" s="9" t="s">
        <v>230</v>
      </c>
      <c r="F59" s="10" t="s">
        <v>14</v>
      </c>
      <c r="G59" s="8">
        <v>3</v>
      </c>
      <c r="H59" s="12" t="s">
        <v>15</v>
      </c>
      <c r="I59" s="9"/>
    </row>
    <row r="60" spans="1:9" ht="27.6" x14ac:dyDescent="0.3">
      <c r="A60" s="8" t="s">
        <v>231</v>
      </c>
      <c r="B60" s="9" t="s">
        <v>224</v>
      </c>
      <c r="C60" s="9" t="s">
        <v>225</v>
      </c>
      <c r="D60" s="9" t="s">
        <v>232</v>
      </c>
      <c r="E60" s="9" t="s">
        <v>233</v>
      </c>
      <c r="F60" s="13" t="s">
        <v>22</v>
      </c>
      <c r="G60" s="8">
        <v>3</v>
      </c>
      <c r="H60" s="12" t="s">
        <v>15</v>
      </c>
      <c r="I60" s="9"/>
    </row>
    <row r="61" spans="1:9" ht="27.6" x14ac:dyDescent="0.3">
      <c r="A61" s="8" t="s">
        <v>234</v>
      </c>
      <c r="B61" s="9" t="s">
        <v>224</v>
      </c>
      <c r="C61" s="9" t="s">
        <v>235</v>
      </c>
      <c r="D61" s="9" t="s">
        <v>236</v>
      </c>
      <c r="E61" s="9" t="s">
        <v>237</v>
      </c>
      <c r="F61" s="10" t="s">
        <v>14</v>
      </c>
      <c r="G61" s="8">
        <v>3</v>
      </c>
      <c r="H61" s="12" t="s">
        <v>15</v>
      </c>
      <c r="I61" s="9"/>
    </row>
    <row r="62" spans="1:9" x14ac:dyDescent="0.3">
      <c r="A62" s="8" t="s">
        <v>238</v>
      </c>
      <c r="B62" s="9" t="s">
        <v>224</v>
      </c>
      <c r="C62" s="9" t="s">
        <v>235</v>
      </c>
      <c r="D62" s="9" t="s">
        <v>239</v>
      </c>
      <c r="E62" s="9" t="s">
        <v>240</v>
      </c>
      <c r="F62" s="14" t="s">
        <v>30</v>
      </c>
      <c r="G62" s="8">
        <v>2</v>
      </c>
      <c r="H62" s="12" t="s">
        <v>15</v>
      </c>
      <c r="I62" s="9"/>
    </row>
    <row r="63" spans="1:9" ht="27.6" x14ac:dyDescent="0.3">
      <c r="A63" s="8" t="s">
        <v>241</v>
      </c>
      <c r="B63" s="9" t="s">
        <v>242</v>
      </c>
      <c r="C63" s="9" t="s">
        <v>243</v>
      </c>
      <c r="D63" s="9" t="s">
        <v>244</v>
      </c>
      <c r="E63" s="9" t="s">
        <v>245</v>
      </c>
      <c r="F63" s="10" t="s">
        <v>14</v>
      </c>
      <c r="G63" s="8">
        <v>5</v>
      </c>
      <c r="H63" s="12" t="s">
        <v>15</v>
      </c>
      <c r="I63" s="9"/>
    </row>
    <row r="64" spans="1:9" ht="27.6" x14ac:dyDescent="0.3">
      <c r="A64" s="8" t="s">
        <v>246</v>
      </c>
      <c r="B64" s="9" t="s">
        <v>242</v>
      </c>
      <c r="C64" s="9" t="s">
        <v>247</v>
      </c>
      <c r="D64" s="9" t="s">
        <v>248</v>
      </c>
      <c r="E64" s="9" t="s">
        <v>249</v>
      </c>
      <c r="F64" s="10" t="s">
        <v>14</v>
      </c>
      <c r="G64" s="8">
        <v>3</v>
      </c>
      <c r="H64" s="12" t="s">
        <v>15</v>
      </c>
      <c r="I64" s="9"/>
    </row>
    <row r="65" spans="1:9" ht="27.6" x14ac:dyDescent="0.3">
      <c r="A65" s="8" t="s">
        <v>250</v>
      </c>
      <c r="B65" s="9" t="s">
        <v>242</v>
      </c>
      <c r="C65" s="9" t="s">
        <v>247</v>
      </c>
      <c r="D65" s="9" t="s">
        <v>251</v>
      </c>
      <c r="E65" s="9" t="s">
        <v>252</v>
      </c>
      <c r="F65" s="10" t="s">
        <v>14</v>
      </c>
      <c r="G65" s="8">
        <v>5</v>
      </c>
      <c r="H65" s="12" t="s">
        <v>15</v>
      </c>
      <c r="I65" s="9"/>
    </row>
    <row r="66" spans="1:9" ht="27.6" x14ac:dyDescent="0.3">
      <c r="A66" s="8" t="s">
        <v>253</v>
      </c>
      <c r="B66" s="9" t="s">
        <v>242</v>
      </c>
      <c r="C66" s="9" t="s">
        <v>247</v>
      </c>
      <c r="D66" s="9" t="s">
        <v>254</v>
      </c>
      <c r="E66" s="9" t="s">
        <v>255</v>
      </c>
      <c r="F66" s="10" t="s">
        <v>14</v>
      </c>
      <c r="G66" s="8">
        <v>4</v>
      </c>
      <c r="H66" s="12" t="s">
        <v>15</v>
      </c>
      <c r="I66" s="9"/>
    </row>
    <row r="67" spans="1:9" ht="27.6" x14ac:dyDescent="0.3">
      <c r="A67" s="8" t="s">
        <v>256</v>
      </c>
      <c r="B67" s="9" t="s">
        <v>242</v>
      </c>
      <c r="C67" s="9" t="s">
        <v>257</v>
      </c>
      <c r="D67" s="9" t="s">
        <v>258</v>
      </c>
      <c r="E67" s="9" t="s">
        <v>259</v>
      </c>
      <c r="F67" s="13" t="s">
        <v>22</v>
      </c>
      <c r="G67" s="8">
        <v>2</v>
      </c>
      <c r="H67" s="12" t="s">
        <v>15</v>
      </c>
      <c r="I67" s="9"/>
    </row>
    <row r="68" spans="1:9" x14ac:dyDescent="0.3">
      <c r="A68" s="8" t="s">
        <v>260</v>
      </c>
      <c r="B68" s="9" t="s">
        <v>261</v>
      </c>
      <c r="C68" s="9" t="s">
        <v>262</v>
      </c>
      <c r="D68" s="9" t="s">
        <v>263</v>
      </c>
      <c r="E68" s="9" t="s">
        <v>264</v>
      </c>
      <c r="F68" s="13" t="s">
        <v>22</v>
      </c>
      <c r="G68" s="8">
        <v>3</v>
      </c>
      <c r="H68" s="12" t="s">
        <v>15</v>
      </c>
      <c r="I68" s="9"/>
    </row>
    <row r="69" spans="1:9" ht="27.6" x14ac:dyDescent="0.3">
      <c r="A69" s="8" t="s">
        <v>265</v>
      </c>
      <c r="B69" s="9" t="s">
        <v>261</v>
      </c>
      <c r="C69" s="9" t="s">
        <v>262</v>
      </c>
      <c r="D69" s="9" t="s">
        <v>266</v>
      </c>
      <c r="E69" s="9" t="s">
        <v>267</v>
      </c>
      <c r="F69" s="10" t="s">
        <v>14</v>
      </c>
      <c r="G69" s="8">
        <v>3</v>
      </c>
      <c r="H69" s="12" t="s">
        <v>15</v>
      </c>
      <c r="I69" s="9"/>
    </row>
    <row r="70" spans="1:9" ht="27.6" x14ac:dyDescent="0.3">
      <c r="A70" s="8" t="s">
        <v>268</v>
      </c>
      <c r="B70" s="9" t="s">
        <v>261</v>
      </c>
      <c r="C70" s="9" t="s">
        <v>269</v>
      </c>
      <c r="D70" s="9" t="s">
        <v>270</v>
      </c>
      <c r="E70" s="9" t="s">
        <v>271</v>
      </c>
      <c r="F70" s="13" t="s">
        <v>22</v>
      </c>
      <c r="G70" s="8">
        <v>4</v>
      </c>
      <c r="H70" s="12" t="s">
        <v>15</v>
      </c>
      <c r="I70" s="9"/>
    </row>
    <row r="71" spans="1:9" ht="27.6" x14ac:dyDescent="0.3">
      <c r="A71" s="8" t="s">
        <v>272</v>
      </c>
      <c r="B71" s="9" t="s">
        <v>261</v>
      </c>
      <c r="C71" s="9" t="s">
        <v>269</v>
      </c>
      <c r="D71" s="9" t="s">
        <v>273</v>
      </c>
      <c r="E71" s="9" t="s">
        <v>274</v>
      </c>
      <c r="F71" s="14" t="s">
        <v>30</v>
      </c>
      <c r="G71" s="8">
        <v>3</v>
      </c>
      <c r="H71" s="12" t="s">
        <v>15</v>
      </c>
      <c r="I71" s="9"/>
    </row>
    <row r="72" spans="1:9" ht="27.6" x14ac:dyDescent="0.3">
      <c r="A72" s="8" t="s">
        <v>275</v>
      </c>
      <c r="B72" s="9" t="s">
        <v>261</v>
      </c>
      <c r="C72" s="9" t="s">
        <v>276</v>
      </c>
      <c r="D72" s="9" t="s">
        <v>277</v>
      </c>
      <c r="E72" s="9" t="s">
        <v>278</v>
      </c>
      <c r="F72" s="13" t="s">
        <v>22</v>
      </c>
      <c r="G72" s="8">
        <v>2</v>
      </c>
      <c r="H72" s="12" t="s">
        <v>15</v>
      </c>
      <c r="I72" s="9"/>
    </row>
    <row r="73" spans="1:9" ht="27.6" x14ac:dyDescent="0.3">
      <c r="A73" s="8" t="s">
        <v>279</v>
      </c>
      <c r="B73" s="9" t="s">
        <v>280</v>
      </c>
      <c r="C73" s="9" t="s">
        <v>281</v>
      </c>
      <c r="D73" s="9" t="s">
        <v>282</v>
      </c>
      <c r="E73" s="9" t="s">
        <v>283</v>
      </c>
      <c r="F73" s="10" t="s">
        <v>14</v>
      </c>
      <c r="G73" s="8">
        <v>5</v>
      </c>
      <c r="H73" s="12" t="s">
        <v>15</v>
      </c>
      <c r="I73" s="9"/>
    </row>
    <row r="74" spans="1:9" ht="27.6" x14ac:dyDescent="0.3">
      <c r="A74" s="8" t="s">
        <v>284</v>
      </c>
      <c r="B74" s="9" t="s">
        <v>280</v>
      </c>
      <c r="C74" s="9" t="s">
        <v>285</v>
      </c>
      <c r="D74" s="9" t="s">
        <v>286</v>
      </c>
      <c r="E74" s="9" t="s">
        <v>287</v>
      </c>
      <c r="F74" s="10" t="s">
        <v>14</v>
      </c>
      <c r="G74" s="8">
        <v>5</v>
      </c>
      <c r="H74" s="12" t="s">
        <v>15</v>
      </c>
      <c r="I74" s="9"/>
    </row>
    <row r="75" spans="1:9" ht="27.6" x14ac:dyDescent="0.3">
      <c r="A75" s="8" t="s">
        <v>288</v>
      </c>
      <c r="B75" s="9" t="s">
        <v>280</v>
      </c>
      <c r="C75" s="9" t="s">
        <v>285</v>
      </c>
      <c r="D75" s="9" t="s">
        <v>289</v>
      </c>
      <c r="E75" s="9" t="s">
        <v>290</v>
      </c>
      <c r="F75" s="10" t="s">
        <v>14</v>
      </c>
      <c r="G75" s="8">
        <v>4</v>
      </c>
      <c r="H75" s="12" t="s">
        <v>15</v>
      </c>
      <c r="I75" s="9"/>
    </row>
    <row r="76" spans="1:9" ht="27.6" x14ac:dyDescent="0.3">
      <c r="A76" s="8" t="s">
        <v>291</v>
      </c>
      <c r="B76" s="9" t="s">
        <v>280</v>
      </c>
      <c r="C76" s="9" t="s">
        <v>292</v>
      </c>
      <c r="D76" s="9" t="s">
        <v>293</v>
      </c>
      <c r="E76" s="9" t="s">
        <v>294</v>
      </c>
      <c r="F76" s="13" t="s">
        <v>22</v>
      </c>
      <c r="G76" s="8">
        <v>2</v>
      </c>
      <c r="H76" s="12" t="s">
        <v>15</v>
      </c>
      <c r="I76" s="9"/>
    </row>
    <row r="77" spans="1:9" ht="27.6" x14ac:dyDescent="0.3">
      <c r="A77" s="8" t="s">
        <v>295</v>
      </c>
      <c r="B77" s="9" t="s">
        <v>280</v>
      </c>
      <c r="C77" s="9" t="s">
        <v>296</v>
      </c>
      <c r="D77" s="9" t="s">
        <v>297</v>
      </c>
      <c r="E77" s="9" t="s">
        <v>298</v>
      </c>
      <c r="F77" s="13" t="s">
        <v>22</v>
      </c>
      <c r="G77" s="8">
        <v>4</v>
      </c>
      <c r="H77" s="12" t="s">
        <v>15</v>
      </c>
      <c r="I77" s="9"/>
    </row>
    <row r="78" spans="1:9" x14ac:dyDescent="0.3">
      <c r="A78" s="8" t="s">
        <v>299</v>
      </c>
      <c r="B78" s="9" t="s">
        <v>300</v>
      </c>
      <c r="C78" s="9" t="s">
        <v>301</v>
      </c>
      <c r="D78" s="9" t="s">
        <v>302</v>
      </c>
      <c r="E78" s="9" t="s">
        <v>303</v>
      </c>
      <c r="F78" s="10" t="s">
        <v>14</v>
      </c>
      <c r="G78" s="8">
        <v>3</v>
      </c>
      <c r="H78" s="12" t="s">
        <v>15</v>
      </c>
      <c r="I78" s="9"/>
    </row>
    <row r="79" spans="1:9" ht="27.6" x14ac:dyDescent="0.3">
      <c r="A79" s="8" t="s">
        <v>304</v>
      </c>
      <c r="B79" s="9" t="s">
        <v>300</v>
      </c>
      <c r="C79" s="9" t="s">
        <v>305</v>
      </c>
      <c r="D79" s="9" t="s">
        <v>306</v>
      </c>
      <c r="E79" s="9" t="s">
        <v>307</v>
      </c>
      <c r="F79" s="10" t="s">
        <v>14</v>
      </c>
      <c r="G79" s="8">
        <v>4</v>
      </c>
      <c r="H79" s="12" t="s">
        <v>15</v>
      </c>
      <c r="I79" s="9"/>
    </row>
    <row r="80" spans="1:9" ht="27.6" x14ac:dyDescent="0.3">
      <c r="A80" s="8" t="s">
        <v>308</v>
      </c>
      <c r="B80" s="9" t="s">
        <v>300</v>
      </c>
      <c r="C80" s="9" t="s">
        <v>305</v>
      </c>
      <c r="D80" s="9" t="s">
        <v>309</v>
      </c>
      <c r="E80" s="9" t="s">
        <v>310</v>
      </c>
      <c r="F80" s="10" t="s">
        <v>14</v>
      </c>
      <c r="G80" s="8">
        <v>2</v>
      </c>
      <c r="H80" s="12" t="s">
        <v>15</v>
      </c>
      <c r="I80" s="9"/>
    </row>
    <row r="81" spans="1:9" ht="27.6" x14ac:dyDescent="0.3">
      <c r="A81" s="8" t="s">
        <v>311</v>
      </c>
      <c r="B81" s="9" t="s">
        <v>300</v>
      </c>
      <c r="C81" s="9" t="s">
        <v>312</v>
      </c>
      <c r="D81" s="9" t="s">
        <v>313</v>
      </c>
      <c r="E81" s="9" t="s">
        <v>314</v>
      </c>
      <c r="F81" s="13" t="s">
        <v>22</v>
      </c>
      <c r="G81" s="8">
        <v>4</v>
      </c>
      <c r="H81" s="12" t="s">
        <v>15</v>
      </c>
      <c r="I81" s="9"/>
    </row>
    <row r="82" spans="1:9" ht="27.6" x14ac:dyDescent="0.3">
      <c r="A82" s="8" t="s">
        <v>315</v>
      </c>
      <c r="B82" s="9" t="s">
        <v>300</v>
      </c>
      <c r="C82" s="9" t="s">
        <v>312</v>
      </c>
      <c r="D82" s="9" t="s">
        <v>316</v>
      </c>
      <c r="E82" s="9" t="s">
        <v>317</v>
      </c>
      <c r="F82" s="13" t="s">
        <v>22</v>
      </c>
      <c r="G82" s="8">
        <v>4</v>
      </c>
      <c r="H82" s="12" t="s">
        <v>15</v>
      </c>
      <c r="I82" s="9"/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4" customWidth="1"/>
    <col min="3" max="3" width="18" customWidth="1"/>
  </cols>
  <sheetData>
    <row r="1" spans="1:3" x14ac:dyDescent="0.3">
      <c r="A1" s="3" t="s">
        <v>1</v>
      </c>
      <c r="B1" s="3" t="s">
        <v>318</v>
      </c>
      <c r="C1" s="3" t="s">
        <v>319</v>
      </c>
    </row>
    <row r="2" spans="1:3" x14ac:dyDescent="0.3">
      <c r="A2" s="2" t="s">
        <v>10</v>
      </c>
      <c r="B2" s="1">
        <f>COUNTIF(Tasks!$B$2:$B$82,A2)</f>
        <v>8</v>
      </c>
      <c r="C2" s="1">
        <f>SUMIF(Tasks!$B$2:$B$82,A2,Tasks!$G$2:$G$82)</f>
        <v>18</v>
      </c>
    </row>
    <row r="3" spans="1:3" x14ac:dyDescent="0.3">
      <c r="A3" s="2" t="s">
        <v>43</v>
      </c>
      <c r="B3" s="1">
        <f>COUNTIF(Tasks!$B$2:$B$82,A3)</f>
        <v>6</v>
      </c>
      <c r="C3" s="1">
        <f>SUMIF(Tasks!$B$2:$B$82,A3,Tasks!$G$2:$G$82)</f>
        <v>20</v>
      </c>
    </row>
    <row r="4" spans="1:3" ht="26.4" x14ac:dyDescent="0.3">
      <c r="A4" s="2" t="s">
        <v>65</v>
      </c>
      <c r="B4" s="1">
        <f>COUNTIF(Tasks!$B$2:$B$82,A4)</f>
        <v>7</v>
      </c>
      <c r="C4" s="1">
        <f>SUMIF(Tasks!$B$2:$B$82,A4,Tasks!$G$2:$G$82)</f>
        <v>23</v>
      </c>
    </row>
    <row r="5" spans="1:3" x14ac:dyDescent="0.3">
      <c r="A5" s="2" t="s">
        <v>91</v>
      </c>
      <c r="B5" s="1">
        <f>COUNTIF(Tasks!$B$2:$B$82,A5)</f>
        <v>7</v>
      </c>
      <c r="C5" s="1">
        <f>SUMIF(Tasks!$B$2:$B$82,A5,Tasks!$G$2:$G$82)</f>
        <v>26</v>
      </c>
    </row>
    <row r="6" spans="1:3" x14ac:dyDescent="0.3">
      <c r="A6" s="2" t="s">
        <v>116</v>
      </c>
      <c r="B6" s="1">
        <f>COUNTIF(Tasks!$B$2:$B$82,A6)</f>
        <v>8</v>
      </c>
      <c r="C6" s="1">
        <f>SUMIF(Tasks!$B$2:$B$82,A6,Tasks!$G$2:$G$82)</f>
        <v>29</v>
      </c>
    </row>
    <row r="7" spans="1:3" x14ac:dyDescent="0.3">
      <c r="A7" s="2" t="s">
        <v>146</v>
      </c>
      <c r="B7" s="1">
        <f>COUNTIF(Tasks!$B$2:$B$82,A7)</f>
        <v>4</v>
      </c>
      <c r="C7" s="1">
        <f>SUMIF(Tasks!$B$2:$B$82,A7,Tasks!$G$2:$G$82)</f>
        <v>14</v>
      </c>
    </row>
    <row r="8" spans="1:3" x14ac:dyDescent="0.3">
      <c r="A8" s="2" t="s">
        <v>162</v>
      </c>
      <c r="B8" s="1">
        <f>COUNTIF(Tasks!$B$2:$B$82,A8)</f>
        <v>5</v>
      </c>
      <c r="C8" s="1">
        <f>SUMIF(Tasks!$B$2:$B$82,A8,Tasks!$G$2:$G$82)</f>
        <v>17</v>
      </c>
    </row>
    <row r="9" spans="1:3" x14ac:dyDescent="0.3">
      <c r="A9" s="2" t="s">
        <v>181</v>
      </c>
      <c r="B9" s="1">
        <f>COUNTIF(Tasks!$B$2:$B$82,A9)</f>
        <v>6</v>
      </c>
      <c r="C9" s="1">
        <f>SUMIF(Tasks!$B$2:$B$82,A9,Tasks!$G$2:$G$82)</f>
        <v>20</v>
      </c>
    </row>
    <row r="10" spans="1:3" x14ac:dyDescent="0.3">
      <c r="A10" s="2" t="s">
        <v>204</v>
      </c>
      <c r="B10" s="1">
        <f>COUNTIF(Tasks!$B$2:$B$82,A10)</f>
        <v>5</v>
      </c>
      <c r="C10" s="1">
        <f>SUMIF(Tasks!$B$2:$B$82,A10,Tasks!$G$2:$G$82)</f>
        <v>15</v>
      </c>
    </row>
    <row r="11" spans="1:3" x14ac:dyDescent="0.3">
      <c r="A11" s="2" t="s">
        <v>224</v>
      </c>
      <c r="B11" s="1">
        <f>COUNTIF(Tasks!$B$2:$B$82,A11)</f>
        <v>5</v>
      </c>
      <c r="C11" s="1">
        <f>SUMIF(Tasks!$B$2:$B$82,A11,Tasks!$G$2:$G$82)</f>
        <v>16</v>
      </c>
    </row>
    <row r="12" spans="1:3" ht="26.4" x14ac:dyDescent="0.3">
      <c r="A12" s="2" t="s">
        <v>242</v>
      </c>
      <c r="B12" s="1">
        <f>COUNTIF(Tasks!$B$2:$B$82,A12)</f>
        <v>5</v>
      </c>
      <c r="C12" s="1">
        <f>SUMIF(Tasks!$B$2:$B$82,A12,Tasks!$G$2:$G$82)</f>
        <v>19</v>
      </c>
    </row>
    <row r="13" spans="1:3" x14ac:dyDescent="0.3">
      <c r="A13" s="2" t="s">
        <v>261</v>
      </c>
      <c r="B13" s="1">
        <f>COUNTIF(Tasks!$B$2:$B$82,A13)</f>
        <v>5</v>
      </c>
      <c r="C13" s="1">
        <f>SUMIF(Tasks!$B$2:$B$82,A13,Tasks!$G$2:$G$82)</f>
        <v>15</v>
      </c>
    </row>
    <row r="14" spans="1:3" x14ac:dyDescent="0.3">
      <c r="A14" s="2" t="s">
        <v>280</v>
      </c>
      <c r="B14" s="1">
        <f>COUNTIF(Tasks!$B$2:$B$82,A14)</f>
        <v>5</v>
      </c>
      <c r="C14" s="1">
        <f>SUMIF(Tasks!$B$2:$B$82,A14,Tasks!$G$2:$G$82)</f>
        <v>20</v>
      </c>
    </row>
    <row r="15" spans="1:3" x14ac:dyDescent="0.3">
      <c r="A15" s="2" t="s">
        <v>300</v>
      </c>
      <c r="B15" s="1">
        <f>COUNTIF(Tasks!$B$2:$B$82,A15)</f>
        <v>5</v>
      </c>
      <c r="C15" s="1">
        <f>SUMIF(Tasks!$B$2:$B$82,A15,Tasks!$G$2:$G$82)</f>
        <v>17</v>
      </c>
    </row>
    <row r="16" spans="1:3" x14ac:dyDescent="0.3">
      <c r="A16" s="4" t="s">
        <v>320</v>
      </c>
      <c r="B16" s="5">
        <f>SUM(B2:B15)</f>
        <v>81</v>
      </c>
      <c r="C16" s="5">
        <f>SUM(C2:C15)</f>
        <v>269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Baloch PC</cp:lastModifiedBy>
  <cp:revision>0</cp:revision>
  <dcterms:created xsi:type="dcterms:W3CDTF">2026-07-25T11:42:04Z</dcterms:created>
  <dcterms:modified xsi:type="dcterms:W3CDTF">2026-08-02T06:38:17Z</dcterms:modified>
  <dc:language>en-US</dc:language>
</cp:coreProperties>
</file>